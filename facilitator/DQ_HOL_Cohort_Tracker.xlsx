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29B5E8"/>
        <bgColor rgb="0029B5E8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5" customWidth="1" min="13" max="13"/>
    <col width="14" customWidth="1" min="14" max="14"/>
    <col width="6" customWidth="1" min="15" max="15"/>
    <col width="16" customWidth="1" min="16" max="16"/>
  </cols>
  <sheetData>
    <row r="1">
      <c r="A1" s="1" t="inlineStr">
        <is>
          <t>Partner Cohort Progress Tracker</t>
        </is>
      </c>
    </row>
    <row r="3">
      <c r="A3" s="2" t="inlineStr">
        <is>
          <t>Cohort Name:</t>
        </is>
      </c>
      <c r="C3" s="2" t="inlineStr">
        <is>
          <t>Partner:</t>
        </is>
      </c>
      <c r="E3" s="2" t="inlineStr">
        <is>
          <t>Start Date:</t>
        </is>
      </c>
      <c r="G3" s="2" t="inlineStr">
        <is>
          <t>Facilitator:</t>
        </is>
      </c>
    </row>
    <row r="4">
      <c r="A4" s="2" t="inlineStr">
        <is>
          <t>Track:</t>
        </is>
      </c>
      <c r="C4" s="2" t="inlineStr">
        <is>
          <t>Target End Date:</t>
        </is>
      </c>
    </row>
    <row r="6">
      <c r="A6" s="3" t="inlineStr">
        <is>
          <t>#</t>
        </is>
      </c>
      <c r="B6" s="3" t="inlineStr">
        <is>
          <t>Student Name</t>
        </is>
      </c>
      <c r="C6" s="3" t="inlineStr">
        <is>
          <t>Email</t>
        </is>
      </c>
      <c r="D6" s="3" t="inlineStr">
        <is>
          <t>Role</t>
        </is>
      </c>
      <c r="E6" s="3" t="inlineStr">
        <is>
          <t>M0</t>
        </is>
      </c>
      <c r="F6" s="3" t="inlineStr">
        <is>
          <t>M0B</t>
        </is>
      </c>
      <c r="G6" s="3" t="inlineStr">
        <is>
          <t>M1</t>
        </is>
      </c>
      <c r="H6" s="3" t="inlineStr">
        <is>
          <t>M2</t>
        </is>
      </c>
      <c r="I6" s="3" t="inlineStr">
        <is>
          <t>M3</t>
        </is>
      </c>
      <c r="J6" s="3" t="inlineStr">
        <is>
          <t>M4</t>
        </is>
      </c>
      <c r="K6" s="3" t="inlineStr">
        <is>
          <t>M5</t>
        </is>
      </c>
      <c r="L6" s="3" t="inlineStr">
        <is>
          <t>M6-7</t>
        </is>
      </c>
      <c r="M6" s="3" t="inlineStr">
        <is>
          <t>M8</t>
        </is>
      </c>
      <c r="N6" s="3" t="inlineStr">
        <is>
          <t>Completion %</t>
        </is>
      </c>
      <c r="O6" s="3" t="inlineStr">
        <is>
          <t>NPS</t>
        </is>
      </c>
      <c r="P6" s="3" t="inlineStr">
        <is>
          <t>Feedback Received?</t>
        </is>
      </c>
    </row>
    <row r="7">
      <c r="A7" s="4" t="n">
        <v>1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>
        <f>IF(B7&lt;&gt;"",COUNTIF(E7:M7,"Y")/9*100,"")</f>
        <v/>
      </c>
      <c r="O7" s="4" t="n"/>
      <c r="P7" s="4" t="n"/>
    </row>
    <row r="8">
      <c r="A8" s="5" t="n">
        <v>2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>
        <f>IF(B8&lt;&gt;"",COUNTIF(E8:M8,"Y")/9*100,"")</f>
        <v/>
      </c>
      <c r="O8" s="5" t="n"/>
      <c r="P8" s="5" t="n"/>
    </row>
    <row r="9">
      <c r="A9" s="4" t="n">
        <v>3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>
        <f>IF(B9&lt;&gt;"",COUNTIF(E9:M9,"Y")/9*100,"")</f>
        <v/>
      </c>
      <c r="O9" s="4" t="n"/>
      <c r="P9" s="4" t="n"/>
    </row>
    <row r="10">
      <c r="A10" s="5" t="n">
        <v>4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>
        <f>IF(B10&lt;&gt;"",COUNTIF(E10:M10,"Y")/9*100,"")</f>
        <v/>
      </c>
      <c r="O10" s="5" t="n"/>
      <c r="P10" s="5" t="n"/>
    </row>
    <row r="11">
      <c r="A11" s="4" t="n">
        <v>5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>
        <f>IF(B11&lt;&gt;"",COUNTIF(E11:M11,"Y")/9*100,"")</f>
        <v/>
      </c>
      <c r="O11" s="4" t="n"/>
      <c r="P11" s="4" t="n"/>
    </row>
    <row r="12">
      <c r="A12" s="5" t="n">
        <v>6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>
        <f>IF(B12&lt;&gt;"",COUNTIF(E12:M12,"Y")/9*100,"")</f>
        <v/>
      </c>
      <c r="O12" s="5" t="n"/>
      <c r="P12" s="5" t="n"/>
    </row>
    <row r="13">
      <c r="A13" s="4" t="n">
        <v>7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>
        <f>IF(B13&lt;&gt;"",COUNTIF(E13:M13,"Y")/9*100,"")</f>
        <v/>
      </c>
      <c r="O13" s="4" t="n"/>
      <c r="P13" s="4" t="n"/>
    </row>
    <row r="14">
      <c r="A14" s="5" t="n">
        <v>8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>
        <f>IF(B14&lt;&gt;"",COUNTIF(E14:M14,"Y")/9*100,"")</f>
        <v/>
      </c>
      <c r="O14" s="5" t="n"/>
      <c r="P14" s="5" t="n"/>
    </row>
    <row r="15">
      <c r="A15" s="4" t="n">
        <v>9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>
        <f>IF(B15&lt;&gt;"",COUNTIF(E15:M15,"Y")/9*100,"")</f>
        <v/>
      </c>
      <c r="O15" s="4" t="n"/>
      <c r="P15" s="4" t="n"/>
    </row>
    <row r="16">
      <c r="A16" s="5" t="n">
        <v>10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>
        <f>IF(B16&lt;&gt;"",COUNTIF(E16:M16,"Y")/9*100,"")</f>
        <v/>
      </c>
      <c r="O16" s="5" t="n"/>
      <c r="P16" s="5" t="n"/>
    </row>
    <row r="17">
      <c r="A17" s="4" t="n">
        <v>11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>
        <f>IF(B17&lt;&gt;"",COUNTIF(E17:M17,"Y")/9*100,"")</f>
        <v/>
      </c>
      <c r="O17" s="4" t="n"/>
      <c r="P17" s="4" t="n"/>
    </row>
    <row r="18">
      <c r="A18" s="5" t="n">
        <v>12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>
        <f>IF(B18&lt;&gt;"",COUNTIF(E18:M18,"Y")/9*100,"")</f>
        <v/>
      </c>
      <c r="O18" s="5" t="n"/>
      <c r="P18" s="5" t="n"/>
    </row>
    <row r="19">
      <c r="A19" s="4" t="n">
        <v>13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>
        <f>IF(B19&lt;&gt;"",COUNTIF(E19:M19,"Y")/9*100,"")</f>
        <v/>
      </c>
      <c r="O19" s="4" t="n"/>
      <c r="P19" s="4" t="n"/>
    </row>
    <row r="20">
      <c r="A20" s="5" t="n">
        <v>14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>
        <f>IF(B20&lt;&gt;"",COUNTIF(E20:M20,"Y")/9*100,"")</f>
        <v/>
      </c>
      <c r="O20" s="5" t="n"/>
      <c r="P20" s="5" t="n"/>
    </row>
    <row r="21">
      <c r="A21" s="4" t="n">
        <v>15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>
        <f>IF(B21&lt;&gt;"",COUNTIF(E21:M21,"Y")/9*100,"")</f>
        <v/>
      </c>
      <c r="O21" s="4" t="n"/>
      <c r="P21" s="4" t="n"/>
    </row>
    <row r="22">
      <c r="A22" s="5" t="n">
        <v>16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>
        <f>IF(B22&lt;&gt;"",COUNTIF(E22:M22,"Y")/9*100,"")</f>
        <v/>
      </c>
      <c r="O22" s="5" t="n"/>
      <c r="P22" s="5" t="n"/>
    </row>
    <row r="23">
      <c r="A23" s="4" t="n">
        <v>17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>
        <f>IF(B23&lt;&gt;"",COUNTIF(E23:M23,"Y")/9*100,"")</f>
        <v/>
      </c>
      <c r="O23" s="4" t="n"/>
      <c r="P23" s="4" t="n"/>
    </row>
    <row r="24">
      <c r="A24" s="5" t="n">
        <v>18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>
        <f>IF(B24&lt;&gt;"",COUNTIF(E24:M24,"Y")/9*100,"")</f>
        <v/>
      </c>
      <c r="O24" s="5" t="n"/>
      <c r="P24" s="5" t="n"/>
    </row>
    <row r="25">
      <c r="A25" s="4" t="n">
        <v>19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>
        <f>IF(B25&lt;&gt;"",COUNTIF(E25:M25,"Y")/9*100,"")</f>
        <v/>
      </c>
      <c r="O25" s="4" t="n"/>
      <c r="P25" s="4" t="n"/>
    </row>
    <row r="26">
      <c r="A26" s="5" t="n">
        <v>20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>
        <f>IF(B26&lt;&gt;"",COUNTIF(E26:M26,"Y")/9*100,"")</f>
        <v/>
      </c>
      <c r="O26" s="5" t="n"/>
      <c r="P26" s="5" t="n"/>
    </row>
    <row r="28">
      <c r="A28" s="2" t="inlineStr">
        <is>
          <t>COHORT METRICS</t>
        </is>
      </c>
    </row>
    <row r="29">
      <c r="A29" s="6" t="inlineStr">
        <is>
          <t>Total Enrolled:</t>
        </is>
      </c>
      <c r="B29" s="6">
        <f>COUNTA(B7:B26)</f>
        <v/>
      </c>
    </row>
    <row r="30">
      <c r="A30" s="6" t="inlineStr">
        <is>
          <t>Avg Completion %:</t>
        </is>
      </c>
      <c r="B30" s="6">
        <f>IFERROR(AVERAGE(N7:N26),0)</f>
        <v/>
      </c>
    </row>
    <row r="31">
      <c r="A31" s="6" t="inlineStr">
        <is>
          <t>Avg NPS:</t>
        </is>
      </c>
      <c r="B31" s="6">
        <f>IFERROR(AVERAGE(O7:O26),0)</f>
        <v/>
      </c>
    </row>
    <row r="32">
      <c r="A32" s="6" t="inlineStr">
        <is>
          <t>100% Completion:</t>
        </is>
      </c>
      <c r="B32" s="6">
        <f>COUNTIF(N7:N26,"&gt;=100")</f>
        <v/>
      </c>
    </row>
    <row r="33">
      <c r="A33" s="6" t="inlineStr">
        <is>
          <t>Feedback Submitted:</t>
        </is>
      </c>
      <c r="B33" s="6">
        <f>COUNTIF(P7:P26,"Y")</f>
        <v/>
      </c>
    </row>
    <row r="35">
      <c r="A35" s="7" t="inlineStr">
        <is>
          <t>Instructions: Mark Y when student completes module. Completion auto-calculates.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2026-08-25T22:39:54Z</dcterms:created>
  <dcterms:modified xmlns:dcterms="http://purl.org/dc/terms/" xmlns:xsi="http://www.w3.org/2001/XMLSchema-instance" xsi:type="dcterms:W3CDTF">2026-08-25T22:39:54Z</dcterms:modified>
</cp:coreProperties>
</file>